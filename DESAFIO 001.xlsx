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-vendas" sheetId="1" r:id="rId5"/>
  </sheets>
  <definedNames/>
  <calcPr/>
</workbook>
</file>

<file path=xl/sharedStrings.xml><?xml version="1.0" encoding="utf-8"?>
<sst xmlns="http://schemas.openxmlformats.org/spreadsheetml/2006/main" count="144" uniqueCount="41">
  <si>
    <t>ID_VENDA</t>
  </si>
  <si>
    <t>DATA</t>
  </si>
  <si>
    <t>PRODUTO</t>
  </si>
  <si>
    <t>CATEGORIA</t>
  </si>
  <si>
    <t>QUANTIDADE</t>
  </si>
  <si>
    <t>PREÇO_UNIT</t>
  </si>
  <si>
    <t>FORMA_PAG</t>
  </si>
  <si>
    <t>CIDADE</t>
  </si>
  <si>
    <t>VALOR_TOTAL</t>
  </si>
  <si>
    <t>Notebook</t>
  </si>
  <si>
    <t>Eletrônicos</t>
  </si>
  <si>
    <t>Cartão</t>
  </si>
  <si>
    <t>SP</t>
  </si>
  <si>
    <t>TICKET MEDIO</t>
  </si>
  <si>
    <t>CATEGORIA MAIOR FATURAMENTO</t>
  </si>
  <si>
    <t>Mouse</t>
  </si>
  <si>
    <t>Pix</t>
  </si>
  <si>
    <t>Cadeira</t>
  </si>
  <si>
    <t>Móveis</t>
  </si>
  <si>
    <t>Boleto</t>
  </si>
  <si>
    <t>Campinas</t>
  </si>
  <si>
    <t>Teclado</t>
  </si>
  <si>
    <t>Santos</t>
  </si>
  <si>
    <t>TICKET MEDIANO</t>
  </si>
  <si>
    <t>PRODUTO MAIS VENDIDO</t>
  </si>
  <si>
    <t>Monitor</t>
  </si>
  <si>
    <t>Mesa</t>
  </si>
  <si>
    <t>Headset</t>
  </si>
  <si>
    <t>Sorocaba</t>
  </si>
  <si>
    <t>FATURAMENTO TOTAL</t>
  </si>
  <si>
    <t>CIDADE COM MAIOR VOLUME DE VENDAS</t>
  </si>
  <si>
    <t>Existe concentração de vendas em determinados
dias?</t>
  </si>
  <si>
    <t>Impressora</t>
  </si>
  <si>
    <t>Sim, mas elas não possuem nenhum padrão muito aparente (dias da semana/feriados não são um fator determinante)</t>
  </si>
  <si>
    <t xml:space="preserve"> </t>
  </si>
  <si>
    <t>Qual cidade é mais estratégica?</t>
  </si>
  <si>
    <t>Depende do ponto de vista, mas São Paulo tem uma grande concentração de volume de vendas.</t>
  </si>
  <si>
    <t xml:space="preserve">Cartão é dominante ou há equilíbrio?
</t>
  </si>
  <si>
    <t>Cartão é majoritariamente dominante.</t>
  </si>
  <si>
    <t xml:space="preserve">A loja depende muito de um único produto?
</t>
  </si>
  <si>
    <t>Não, a loja costuma ter vendas bem variadas.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</si>
</sst>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R$ -416]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sz val="10.0"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7"/>
        <bgColor theme="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2" fontId="2" numFmtId="0" xfId="0" applyAlignment="1" applyBorder="1" applyFill="1" applyFont="1">
      <alignment horizontal="center" readingOrder="0"/>
    </xf>
    <xf borderId="1" fillId="0" fontId="1" numFmtId="165" xfId="0" applyBorder="1" applyFont="1" applyNumberFormat="1"/>
    <xf borderId="1" fillId="0" fontId="1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2" fontId="3" numFmtId="0" xfId="0" applyAlignment="1" applyBorder="1" applyFont="1">
      <alignment horizontal="left" readingOrder="0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ase-vend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VENDAS POR DIA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'base-vendas'!$I$1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1155CC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'base-vendas'!$B$2:$B$31</c:f>
            </c:strRef>
          </c:cat>
          <c:val>
            <c:numRef>
              <c:f>'base-vendas'!$I$2:$I$31</c:f>
              <c:numCache/>
            </c:numRef>
          </c:val>
        </c:ser>
        <c:axId val="602921722"/>
        <c:axId val="1390803214"/>
      </c:barChart>
      <c:catAx>
        <c:axId val="6029217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0803214"/>
      </c:catAx>
      <c:valAx>
        <c:axId val="13908032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29217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933450</xdr:colOff>
      <xdr:row>9</xdr:row>
      <xdr:rowOff>257175</xdr:rowOff>
    </xdr:from>
    <xdr:ext cx="6429375" cy="39719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933450</xdr:colOff>
      <xdr:row>24</xdr:row>
      <xdr:rowOff>285750</xdr:rowOff>
    </xdr:from>
    <xdr:ext cx="6429375" cy="3971925"/>
    <xdr:pic>
      <xdr:nvPicPr>
        <xdr:cNvPr id="530536125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933450</xdr:colOff>
      <xdr:row>44</xdr:row>
      <xdr:rowOff>9525</xdr:rowOff>
    </xdr:from>
    <xdr:ext cx="6429375" cy="3971925"/>
    <xdr:pic>
      <xdr:nvPicPr>
        <xdr:cNvPr id="1431380495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933450</xdr:colOff>
      <xdr:row>65</xdr:row>
      <xdr:rowOff>0</xdr:rowOff>
    </xdr:from>
    <xdr:ext cx="6429375" cy="3971925"/>
    <xdr:pic>
      <xdr:nvPicPr>
        <xdr:cNvPr id="1093215532" name="Chart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1" displayName="Base_Vendas" name="Base_Vendas" id="1">
  <tableColumns count="9">
    <tableColumn name="ID_VENDA" id="1"/>
    <tableColumn name="DATA" id="2"/>
    <tableColumn name="PRODUTO" id="3"/>
    <tableColumn name="CATEGORIA" id="4"/>
    <tableColumn name="QUANTIDADE" id="5"/>
    <tableColumn name="PREÇO_UNIT" id="6"/>
    <tableColumn name="FORMA_PAG" id="7"/>
    <tableColumn name="CIDADE" id="8"/>
    <tableColumn name="VALOR_TOTAL" id="9"/>
  </tableColumns>
  <tableStyleInfo name="base-vend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12.88"/>
    <col customWidth="1" min="3" max="3" width="16.25"/>
    <col customWidth="1" min="4" max="4" width="17.63"/>
    <col customWidth="1" min="5" max="5" width="18.88"/>
    <col customWidth="1" min="6" max="6" width="18.5"/>
    <col customWidth="1" min="7" max="7" width="18.25"/>
    <col customWidth="1" min="8" max="8" width="14.5"/>
    <col customWidth="1" min="9" max="9" width="19.63"/>
    <col customWidth="1" min="11" max="11" width="29.5"/>
    <col customWidth="1" min="13" max="13" width="35.13"/>
    <col customWidth="1" min="15" max="15" width="88.5"/>
    <col customWidth="1" min="17" max="17" width="8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1.0</v>
      </c>
      <c r="B2" s="3">
        <v>46024.0</v>
      </c>
      <c r="C2" s="4" t="s">
        <v>9</v>
      </c>
      <c r="D2" s="4" t="s">
        <v>10</v>
      </c>
      <c r="E2" s="2">
        <v>1.0</v>
      </c>
      <c r="F2" s="2">
        <v>3500.0</v>
      </c>
      <c r="G2" s="4" t="s">
        <v>11</v>
      </c>
      <c r="H2" s="4" t="s">
        <v>12</v>
      </c>
      <c r="I2" s="5">
        <f t="shared" ref="I2:I31" si="1">E2*F2</f>
        <v>3500</v>
      </c>
      <c r="K2" s="6" t="s">
        <v>13</v>
      </c>
      <c r="M2" s="6" t="s">
        <v>14</v>
      </c>
    </row>
    <row r="3" ht="22.5" customHeight="1">
      <c r="A3" s="2">
        <v>2.0</v>
      </c>
      <c r="B3" s="3">
        <v>46024.0</v>
      </c>
      <c r="C3" s="4" t="s">
        <v>15</v>
      </c>
      <c r="D3" s="4" t="s">
        <v>10</v>
      </c>
      <c r="E3" s="2">
        <v>2.0</v>
      </c>
      <c r="F3" s="2">
        <v>80.0</v>
      </c>
      <c r="G3" s="4" t="s">
        <v>16</v>
      </c>
      <c r="H3" s="4" t="s">
        <v>12</v>
      </c>
      <c r="I3" s="5">
        <f t="shared" si="1"/>
        <v>160</v>
      </c>
      <c r="K3" s="7">
        <f>K9/30</f>
        <v>1289.666667</v>
      </c>
      <c r="M3" s="8" t="str">
        <f t="array" ref="M3">INDEX(D2:D30, MATCH(MAX(SUMIF(D2:D30, D2:D30, I2:I30)), SUMIF(D2:D30, D2:D30, I2:I30), 0))</f>
        <v>Eletrônicos</v>
      </c>
    </row>
    <row r="4" ht="22.5" customHeight="1">
      <c r="A4" s="2">
        <v>3.0</v>
      </c>
      <c r="B4" s="3">
        <v>46025.0</v>
      </c>
      <c r="C4" s="4" t="s">
        <v>17</v>
      </c>
      <c r="D4" s="4" t="s">
        <v>18</v>
      </c>
      <c r="E4" s="2">
        <v>1.0</v>
      </c>
      <c r="F4" s="2">
        <v>750.0</v>
      </c>
      <c r="G4" s="4" t="s">
        <v>19</v>
      </c>
      <c r="H4" s="4" t="s">
        <v>20</v>
      </c>
      <c r="I4" s="5">
        <f t="shared" si="1"/>
        <v>750</v>
      </c>
    </row>
    <row r="5" ht="22.5" customHeight="1">
      <c r="A5" s="2">
        <v>4.0</v>
      </c>
      <c r="B5" s="3">
        <v>46025.0</v>
      </c>
      <c r="C5" s="4" t="s">
        <v>21</v>
      </c>
      <c r="D5" s="4" t="s">
        <v>10</v>
      </c>
      <c r="E5" s="2">
        <v>1.0</v>
      </c>
      <c r="F5" s="2">
        <v>150.0</v>
      </c>
      <c r="G5" s="4" t="s">
        <v>11</v>
      </c>
      <c r="H5" s="4" t="s">
        <v>22</v>
      </c>
      <c r="I5" s="5">
        <f t="shared" si="1"/>
        <v>150</v>
      </c>
      <c r="K5" s="6" t="s">
        <v>23</v>
      </c>
      <c r="M5" s="6" t="s">
        <v>24</v>
      </c>
    </row>
    <row r="6" ht="22.5" customHeight="1">
      <c r="A6" s="2">
        <v>5.0</v>
      </c>
      <c r="B6" s="3">
        <v>46026.0</v>
      </c>
      <c r="C6" s="4" t="s">
        <v>25</v>
      </c>
      <c r="D6" s="4" t="s">
        <v>10</v>
      </c>
      <c r="E6" s="2">
        <v>2.0</v>
      </c>
      <c r="F6" s="2">
        <v>900.0</v>
      </c>
      <c r="G6" s="4" t="s">
        <v>11</v>
      </c>
      <c r="H6" s="4" t="s">
        <v>12</v>
      </c>
      <c r="I6" s="5">
        <f t="shared" si="1"/>
        <v>1800</v>
      </c>
      <c r="K6" s="7">
        <f>MEDIAN(I2:I31)</f>
        <v>1025</v>
      </c>
      <c r="M6" s="8" t="str">
        <f t="array" ref="M6">INDEX(C2:C30, MATCH(MAX(SUMIF(C2:C30, C2:C30, E2:E30)), SUMIF(C2:C30, C2:C30, E2:E30), 0))</f>
        <v>Mouse</v>
      </c>
    </row>
    <row r="7" ht="22.5" customHeight="1">
      <c r="A7" s="2">
        <v>6.0</v>
      </c>
      <c r="B7" s="3">
        <v>46027.0</v>
      </c>
      <c r="C7" s="4" t="s">
        <v>26</v>
      </c>
      <c r="D7" s="4" t="s">
        <v>18</v>
      </c>
      <c r="E7" s="2">
        <v>1.0</v>
      </c>
      <c r="F7" s="2">
        <v>1200.0</v>
      </c>
      <c r="G7" s="4" t="s">
        <v>16</v>
      </c>
      <c r="H7" s="4" t="s">
        <v>20</v>
      </c>
      <c r="I7" s="5">
        <f t="shared" si="1"/>
        <v>1200</v>
      </c>
    </row>
    <row r="8" ht="22.5" customHeight="1">
      <c r="A8" s="2">
        <v>7.0</v>
      </c>
      <c r="B8" s="3">
        <v>46028.0</v>
      </c>
      <c r="C8" s="4" t="s">
        <v>27</v>
      </c>
      <c r="D8" s="4" t="s">
        <v>10</v>
      </c>
      <c r="E8" s="2">
        <v>3.0</v>
      </c>
      <c r="F8" s="2">
        <v>200.0</v>
      </c>
      <c r="G8" s="4" t="s">
        <v>11</v>
      </c>
      <c r="H8" s="4" t="s">
        <v>28</v>
      </c>
      <c r="I8" s="5">
        <f t="shared" si="1"/>
        <v>600</v>
      </c>
      <c r="K8" s="6" t="s">
        <v>29</v>
      </c>
      <c r="M8" s="6" t="s">
        <v>30</v>
      </c>
    </row>
    <row r="9" ht="22.5" customHeight="1">
      <c r="A9" s="2">
        <v>8.0</v>
      </c>
      <c r="B9" s="3">
        <v>46029.0</v>
      </c>
      <c r="C9" s="4" t="s">
        <v>9</v>
      </c>
      <c r="D9" s="4" t="s">
        <v>10</v>
      </c>
      <c r="E9" s="2">
        <v>1.0</v>
      </c>
      <c r="F9" s="2">
        <v>3400.0</v>
      </c>
      <c r="G9" s="4" t="s">
        <v>16</v>
      </c>
      <c r="H9" s="4" t="s">
        <v>12</v>
      </c>
      <c r="I9" s="5">
        <f t="shared" si="1"/>
        <v>3400</v>
      </c>
      <c r="K9" s="7">
        <f>SUM(I2:I31)</f>
        <v>38690</v>
      </c>
      <c r="M9" s="8" t="str">
        <f t="array" ref="M9">INDEX(H2:H30, MATCH(MAX(SUMIF(H2:H30, H2:H30, I2:I30)), SUMIF(H2:H30, H2:H30, I2:I30), 0))</f>
        <v>SP</v>
      </c>
    </row>
    <row r="10" ht="22.5" customHeight="1">
      <c r="A10" s="2">
        <v>9.0</v>
      </c>
      <c r="B10" s="3">
        <v>46030.0</v>
      </c>
      <c r="C10" s="4" t="s">
        <v>17</v>
      </c>
      <c r="D10" s="4" t="s">
        <v>18</v>
      </c>
      <c r="E10" s="2">
        <v>2.0</v>
      </c>
      <c r="F10" s="2">
        <v>700.0</v>
      </c>
      <c r="G10" s="4" t="s">
        <v>19</v>
      </c>
      <c r="H10" s="4" t="s">
        <v>22</v>
      </c>
      <c r="I10" s="5">
        <f t="shared" si="1"/>
        <v>1400</v>
      </c>
    </row>
    <row r="11" ht="22.5" customHeight="1">
      <c r="A11" s="2">
        <v>10.0</v>
      </c>
      <c r="B11" s="3">
        <v>46031.0</v>
      </c>
      <c r="C11" s="4" t="s">
        <v>15</v>
      </c>
      <c r="D11" s="4" t="s">
        <v>10</v>
      </c>
      <c r="E11" s="2">
        <v>5.0</v>
      </c>
      <c r="F11" s="2">
        <v>75.0</v>
      </c>
      <c r="G11" s="4" t="s">
        <v>11</v>
      </c>
      <c r="H11" s="4" t="s">
        <v>12</v>
      </c>
      <c r="I11" s="5">
        <f t="shared" si="1"/>
        <v>375</v>
      </c>
      <c r="O11" s="9" t="s">
        <v>31</v>
      </c>
    </row>
    <row r="12" ht="22.5" customHeight="1">
      <c r="A12" s="2">
        <v>11.0</v>
      </c>
      <c r="B12" s="3">
        <v>46032.0</v>
      </c>
      <c r="C12" s="4" t="s">
        <v>32</v>
      </c>
      <c r="D12" s="4" t="s">
        <v>10</v>
      </c>
      <c r="E12" s="2">
        <v>1.0</v>
      </c>
      <c r="F12" s="2">
        <v>1100.0</v>
      </c>
      <c r="G12" s="4" t="s">
        <v>11</v>
      </c>
      <c r="H12" s="4" t="s">
        <v>20</v>
      </c>
      <c r="I12" s="5">
        <f t="shared" si="1"/>
        <v>1100</v>
      </c>
      <c r="O12" s="10" t="s">
        <v>33</v>
      </c>
    </row>
    <row r="13" ht="22.5" customHeight="1">
      <c r="A13" s="2">
        <v>12.0</v>
      </c>
      <c r="B13" s="3">
        <v>46033.0</v>
      </c>
      <c r="C13" s="4" t="s">
        <v>26</v>
      </c>
      <c r="D13" s="4" t="s">
        <v>18</v>
      </c>
      <c r="E13" s="2">
        <v>1.0</v>
      </c>
      <c r="F13" s="2">
        <v>1150.0</v>
      </c>
      <c r="G13" s="4" t="s">
        <v>19</v>
      </c>
      <c r="H13" s="4" t="s">
        <v>12</v>
      </c>
      <c r="I13" s="5">
        <f t="shared" si="1"/>
        <v>1150</v>
      </c>
    </row>
    <row r="14" ht="22.5" customHeight="1">
      <c r="A14" s="2">
        <v>13.0</v>
      </c>
      <c r="B14" s="3">
        <v>46034.0</v>
      </c>
      <c r="C14" s="4" t="s">
        <v>25</v>
      </c>
      <c r="D14" s="4" t="s">
        <v>10</v>
      </c>
      <c r="E14" s="2">
        <v>1.0</v>
      </c>
      <c r="F14" s="2">
        <v>950.0</v>
      </c>
      <c r="G14" s="4" t="s">
        <v>16</v>
      </c>
      <c r="H14" s="4" t="s">
        <v>28</v>
      </c>
      <c r="I14" s="5">
        <f t="shared" si="1"/>
        <v>950</v>
      </c>
    </row>
    <row r="15" ht="22.5" customHeight="1">
      <c r="A15" s="2">
        <v>14.0</v>
      </c>
      <c r="B15" s="3">
        <v>46035.0</v>
      </c>
      <c r="C15" s="4" t="s">
        <v>21</v>
      </c>
      <c r="D15" s="4" t="s">
        <v>10</v>
      </c>
      <c r="E15" s="2">
        <v>4.0</v>
      </c>
      <c r="F15" s="2">
        <v>140.0</v>
      </c>
      <c r="G15" s="4" t="s">
        <v>11</v>
      </c>
      <c r="H15" s="4" t="s">
        <v>12</v>
      </c>
      <c r="I15" s="5">
        <f t="shared" si="1"/>
        <v>560</v>
      </c>
      <c r="O15" s="10" t="s">
        <v>34</v>
      </c>
    </row>
    <row r="16" ht="22.5" customHeight="1">
      <c r="A16" s="2">
        <v>15.0</v>
      </c>
      <c r="B16" s="3">
        <v>46036.0</v>
      </c>
      <c r="C16" s="4" t="s">
        <v>17</v>
      </c>
      <c r="D16" s="4" t="s">
        <v>18</v>
      </c>
      <c r="E16" s="2">
        <v>1.0</v>
      </c>
      <c r="F16" s="2">
        <v>780.0</v>
      </c>
      <c r="G16" s="4" t="s">
        <v>11</v>
      </c>
      <c r="H16" s="4" t="s">
        <v>22</v>
      </c>
      <c r="I16" s="5">
        <f t="shared" si="1"/>
        <v>780</v>
      </c>
    </row>
    <row r="17" ht="22.5" customHeight="1">
      <c r="A17" s="2">
        <v>16.0</v>
      </c>
      <c r="B17" s="3">
        <v>46037.0</v>
      </c>
      <c r="C17" s="4" t="s">
        <v>9</v>
      </c>
      <c r="D17" s="4" t="s">
        <v>10</v>
      </c>
      <c r="E17" s="2">
        <v>1.0</v>
      </c>
      <c r="F17" s="2">
        <v>3600.0</v>
      </c>
      <c r="G17" s="4" t="s">
        <v>19</v>
      </c>
      <c r="H17" s="4" t="s">
        <v>20</v>
      </c>
      <c r="I17" s="5">
        <f t="shared" si="1"/>
        <v>3600</v>
      </c>
    </row>
    <row r="18" ht="22.5" customHeight="1">
      <c r="A18" s="2">
        <v>17.0</v>
      </c>
      <c r="B18" s="3">
        <v>46038.0</v>
      </c>
      <c r="C18" s="4" t="s">
        <v>27</v>
      </c>
      <c r="D18" s="4" t="s">
        <v>10</v>
      </c>
      <c r="E18" s="2">
        <v>2.0</v>
      </c>
      <c r="F18" s="2">
        <v>210.0</v>
      </c>
      <c r="G18" s="4" t="s">
        <v>16</v>
      </c>
      <c r="H18" s="4" t="s">
        <v>12</v>
      </c>
      <c r="I18" s="5">
        <f t="shared" si="1"/>
        <v>420</v>
      </c>
    </row>
    <row r="19" ht="22.5" customHeight="1">
      <c r="A19" s="2">
        <v>18.0</v>
      </c>
      <c r="B19" s="3">
        <v>46039.0</v>
      </c>
      <c r="C19" s="4" t="s">
        <v>26</v>
      </c>
      <c r="D19" s="4" t="s">
        <v>18</v>
      </c>
      <c r="E19" s="2">
        <v>1.0</v>
      </c>
      <c r="F19" s="2">
        <v>1250.0</v>
      </c>
      <c r="G19" s="4" t="s">
        <v>11</v>
      </c>
      <c r="H19" s="4" t="s">
        <v>28</v>
      </c>
      <c r="I19" s="5">
        <f t="shared" si="1"/>
        <v>1250</v>
      </c>
    </row>
    <row r="20" ht="22.5" customHeight="1">
      <c r="A20" s="2">
        <v>19.0</v>
      </c>
      <c r="B20" s="3">
        <v>46040.0</v>
      </c>
      <c r="C20" s="4" t="s">
        <v>25</v>
      </c>
      <c r="D20" s="4" t="s">
        <v>10</v>
      </c>
      <c r="E20" s="2">
        <v>2.0</v>
      </c>
      <c r="F20" s="2">
        <v>880.0</v>
      </c>
      <c r="G20" s="4" t="s">
        <v>11</v>
      </c>
      <c r="H20" s="4" t="s">
        <v>12</v>
      </c>
      <c r="I20" s="5">
        <f t="shared" si="1"/>
        <v>1760</v>
      </c>
    </row>
    <row r="21" ht="22.5" customHeight="1">
      <c r="A21" s="2">
        <v>20.0</v>
      </c>
      <c r="B21" s="3">
        <v>46041.0</v>
      </c>
      <c r="C21" s="4" t="s">
        <v>15</v>
      </c>
      <c r="D21" s="4" t="s">
        <v>10</v>
      </c>
      <c r="E21" s="2">
        <v>3.0</v>
      </c>
      <c r="F21" s="2">
        <v>85.0</v>
      </c>
      <c r="G21" s="4" t="s">
        <v>16</v>
      </c>
      <c r="H21" s="4" t="s">
        <v>20</v>
      </c>
      <c r="I21" s="5">
        <f t="shared" si="1"/>
        <v>255</v>
      </c>
    </row>
    <row r="22" ht="22.5" customHeight="1">
      <c r="A22" s="2">
        <v>21.0</v>
      </c>
      <c r="B22" s="3">
        <v>46042.0</v>
      </c>
      <c r="C22" s="4" t="s">
        <v>17</v>
      </c>
      <c r="D22" s="4" t="s">
        <v>18</v>
      </c>
      <c r="E22" s="2">
        <v>1.0</v>
      </c>
      <c r="F22" s="2">
        <v>720.0</v>
      </c>
      <c r="G22" s="4" t="s">
        <v>19</v>
      </c>
      <c r="H22" s="4" t="s">
        <v>12</v>
      </c>
      <c r="I22" s="5">
        <f t="shared" si="1"/>
        <v>720</v>
      </c>
    </row>
    <row r="23" ht="22.5" customHeight="1">
      <c r="A23" s="2">
        <v>22.0</v>
      </c>
      <c r="B23" s="3">
        <v>46043.0</v>
      </c>
      <c r="C23" s="4" t="s">
        <v>9</v>
      </c>
      <c r="D23" s="4" t="s">
        <v>10</v>
      </c>
      <c r="E23" s="2">
        <v>1.0</v>
      </c>
      <c r="F23" s="2">
        <v>3550.0</v>
      </c>
      <c r="G23" s="4" t="s">
        <v>11</v>
      </c>
      <c r="H23" s="4" t="s">
        <v>22</v>
      </c>
      <c r="I23" s="5">
        <f t="shared" si="1"/>
        <v>3550</v>
      </c>
    </row>
    <row r="24" ht="22.5" customHeight="1">
      <c r="A24" s="2">
        <v>23.0</v>
      </c>
      <c r="B24" s="3">
        <v>46044.0</v>
      </c>
      <c r="C24" s="4" t="s">
        <v>21</v>
      </c>
      <c r="D24" s="4" t="s">
        <v>10</v>
      </c>
      <c r="E24" s="2">
        <v>2.0</v>
      </c>
      <c r="F24" s="2">
        <v>160.0</v>
      </c>
      <c r="G24" s="4" t="s">
        <v>16</v>
      </c>
      <c r="H24" s="4" t="s">
        <v>12</v>
      </c>
      <c r="I24" s="5">
        <f t="shared" si="1"/>
        <v>320</v>
      </c>
    </row>
    <row r="25" ht="22.5" customHeight="1">
      <c r="A25" s="2">
        <v>24.0</v>
      </c>
      <c r="B25" s="3">
        <v>46045.0</v>
      </c>
      <c r="C25" s="4" t="s">
        <v>26</v>
      </c>
      <c r="D25" s="4" t="s">
        <v>18</v>
      </c>
      <c r="E25" s="2">
        <v>1.0</v>
      </c>
      <c r="F25" s="2">
        <v>1180.0</v>
      </c>
      <c r="G25" s="4" t="s">
        <v>11</v>
      </c>
      <c r="H25" s="4" t="s">
        <v>20</v>
      </c>
      <c r="I25" s="5">
        <f t="shared" si="1"/>
        <v>1180</v>
      </c>
    </row>
    <row r="26" ht="22.5" customHeight="1">
      <c r="A26" s="2">
        <v>25.0</v>
      </c>
      <c r="B26" s="3">
        <v>46046.0</v>
      </c>
      <c r="C26" s="4" t="s">
        <v>25</v>
      </c>
      <c r="D26" s="4" t="s">
        <v>10</v>
      </c>
      <c r="E26" s="2">
        <v>1.0</v>
      </c>
      <c r="F26" s="2">
        <v>910.0</v>
      </c>
      <c r="G26" s="4" t="s">
        <v>19</v>
      </c>
      <c r="H26" s="4" t="s">
        <v>28</v>
      </c>
      <c r="I26" s="5">
        <f t="shared" si="1"/>
        <v>910</v>
      </c>
      <c r="O26" s="9" t="s">
        <v>35</v>
      </c>
    </row>
    <row r="27" ht="22.5" customHeight="1">
      <c r="A27" s="2">
        <v>26.0</v>
      </c>
      <c r="B27" s="3">
        <v>46047.0</v>
      </c>
      <c r="C27" s="4" t="s">
        <v>27</v>
      </c>
      <c r="D27" s="4" t="s">
        <v>10</v>
      </c>
      <c r="E27" s="2">
        <v>1.0</v>
      </c>
      <c r="F27" s="2">
        <v>220.0</v>
      </c>
      <c r="G27" s="4" t="s">
        <v>11</v>
      </c>
      <c r="H27" s="4" t="s">
        <v>12</v>
      </c>
      <c r="I27" s="5">
        <f t="shared" si="1"/>
        <v>220</v>
      </c>
      <c r="O27" s="10" t="s">
        <v>36</v>
      </c>
    </row>
    <row r="28" ht="22.5" customHeight="1">
      <c r="A28" s="2">
        <v>27.0</v>
      </c>
      <c r="B28" s="3">
        <v>46048.0</v>
      </c>
      <c r="C28" s="4" t="s">
        <v>17</v>
      </c>
      <c r="D28" s="4" t="s">
        <v>18</v>
      </c>
      <c r="E28" s="2">
        <v>2.0</v>
      </c>
      <c r="F28" s="2">
        <v>760.0</v>
      </c>
      <c r="G28" s="4" t="s">
        <v>16</v>
      </c>
      <c r="H28" s="4" t="s">
        <v>20</v>
      </c>
      <c r="I28" s="5">
        <f t="shared" si="1"/>
        <v>1520</v>
      </c>
    </row>
    <row r="29" ht="22.5" customHeight="1">
      <c r="A29" s="2">
        <v>28.0</v>
      </c>
      <c r="B29" s="3">
        <v>46049.0</v>
      </c>
      <c r="C29" s="4" t="s">
        <v>9</v>
      </c>
      <c r="D29" s="4" t="s">
        <v>10</v>
      </c>
      <c r="E29" s="2">
        <v>1.0</v>
      </c>
      <c r="F29" s="2">
        <v>3450.0</v>
      </c>
      <c r="G29" s="4" t="s">
        <v>11</v>
      </c>
      <c r="H29" s="4" t="s">
        <v>12</v>
      </c>
      <c r="I29" s="5">
        <f t="shared" si="1"/>
        <v>3450</v>
      </c>
    </row>
    <row r="30" ht="22.5" customHeight="1">
      <c r="A30" s="2">
        <v>29.0</v>
      </c>
      <c r="B30" s="3">
        <v>46050.0</v>
      </c>
      <c r="C30" s="4" t="s">
        <v>15</v>
      </c>
      <c r="D30" s="4" t="s">
        <v>10</v>
      </c>
      <c r="E30" s="2">
        <v>4.0</v>
      </c>
      <c r="F30" s="2">
        <v>90.0</v>
      </c>
      <c r="G30" s="4" t="s">
        <v>19</v>
      </c>
      <c r="H30" s="4" t="s">
        <v>22</v>
      </c>
      <c r="I30" s="5">
        <f t="shared" si="1"/>
        <v>360</v>
      </c>
    </row>
    <row r="31" ht="22.5" customHeight="1">
      <c r="A31" s="2">
        <v>30.0</v>
      </c>
      <c r="B31" s="3">
        <v>46051.0</v>
      </c>
      <c r="C31" s="4" t="s">
        <v>26</v>
      </c>
      <c r="D31" s="4" t="s">
        <v>18</v>
      </c>
      <c r="E31" s="2">
        <v>1.0</v>
      </c>
      <c r="F31" s="2">
        <v>1300.0</v>
      </c>
      <c r="G31" s="4" t="s">
        <v>16</v>
      </c>
      <c r="H31" s="4" t="s">
        <v>12</v>
      </c>
      <c r="I31" s="5">
        <f t="shared" si="1"/>
        <v>1300</v>
      </c>
    </row>
    <row r="45">
      <c r="O45" s="9" t="s">
        <v>37</v>
      </c>
    </row>
    <row r="46">
      <c r="O46" s="10" t="s">
        <v>38</v>
      </c>
    </row>
    <row r="66">
      <c r="O66" s="11" t="s">
        <v>39</v>
      </c>
    </row>
    <row r="67">
      <c r="O67" s="10" t="s">
        <v>40</v>
      </c>
    </row>
  </sheetData>
  <dataValidations>
    <dataValidation type="custom" allowBlank="1" showDropDown="1" sqref="B2:B31">
      <formula1>OR(NOT(ISERROR(DATEVALUE(B2))), AND(ISNUMBER(B2), LEFT(CELL("format", B2))="D"))</formula1>
    </dataValidation>
    <dataValidation type="list" allowBlank="1" showDropDown="1" showErrorMessage="1" sqref="G2:G31">
      <formula1>"Cartão,Pix,Boleto"</formula1>
    </dataValidation>
    <dataValidation type="list" allowBlank="1" showDropDown="1" showErrorMessage="1" sqref="H2:H31">
      <formula1>"SP,Campinas,Santos,Sorocaba"</formula1>
    </dataValidation>
    <dataValidation type="custom" allowBlank="1" showDropDown="1" sqref="A2:A31 E2:F31 I2:I31">
      <formula1>AND(ISNUMBER(A2),(NOT(OR(NOT(ISERROR(DATEVALUE(A2))), AND(ISNUMBER(A2), LEFT(CELL("format", A2))="D")))))</formula1>
    </dataValidation>
    <dataValidation type="list" allowBlank="1" showDropDown="1" showErrorMessage="1" sqref="C2:C31">
      <formula1>"Notebook,Mouse,Cadeira,Teclado,Monitor,Mesa,Headset,Impressora"</formula1>
    </dataValidation>
    <dataValidation type="list" allowBlank="1" showDropDown="1" showErrorMessage="1" sqref="D2:D31">
      <formula1>"Eletrônicos,Móveis"</formula1>
    </dataValidation>
  </dataValidations>
  <drawing r:id="rId1"/>
  <tableParts count="1">
    <tablePart r:id="rId3"/>
  </tableParts>
</worksheet>
</file>